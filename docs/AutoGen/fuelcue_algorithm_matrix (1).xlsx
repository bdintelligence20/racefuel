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-to-Output Matrix" sheetId="1" state="visible" r:id="rId3"/>
    <sheet name="Sodium Model" sheetId="2" state="visible" r:id="rId4"/>
    <sheet name="Carb &amp; Fluid Tiers" sheetId="3" state="visible" r:id="rId5"/>
    <sheet name="Evidence Libr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<sst xmlns="http://schemas.openxmlformats.org/spreadsheetml/2006/main" count="320" uniqueCount="265">
  <si>
    <t xml:space="preserve">Fuelcue Algorithm — Input-to-Output Matrix</t>
  </si>
  <si>
    <t xml:space="preserve">Maps every Fuelcue input to what it should drive, with evidence basis and common failure modes.</t>
  </si>
  <si>
    <t xml:space="preserve">Input</t>
  </si>
  <si>
    <t xml:space="preserve">Drives Carbs?</t>
  </si>
  <si>
    <t xml:space="preserve">Drives Fluid?</t>
  </si>
  <si>
    <t xml:space="preserve">Drives Sodium?</t>
  </si>
  <si>
    <t xml:space="preserve">Evidence / Rule</t>
  </si>
  <si>
    <t xml:space="preserve">Formula or Rule</t>
  </si>
  <si>
    <t xml:space="preserve">Failure Mode to Avoid</t>
  </si>
  <si>
    <t xml:space="preserve">Weight (kg)</t>
  </si>
  <si>
    <t xml:space="preserve">No</t>
  </si>
  <si>
    <t xml:space="preserve">Weak (indirect)</t>
  </si>
  <si>
    <t xml:space="preserve">Jeukendrup 2014: CHO oxidation rates are weight-independent — absorption is the bottleneck, not muscle mass.</t>
  </si>
  <si>
    <t xml:space="preserve">Do NOT use weight × g/kg/h for carbs. Weight flows only into sweat rate via metabolic heat production.</t>
  </si>
  <si>
    <t xml:space="preserve">Scaling carbs by bodyweight — contradicts 40+ years of tracer studies.</t>
  </si>
  <si>
    <t xml:space="preserve">Height (cm)</t>
  </si>
  <si>
    <t xml:space="preserve">Not a direct predictor in any major model.</t>
  </si>
  <si>
    <t xml:space="preserve">Exclude from algorithm unless doing BSA-based heat modelling (overkill for v1).</t>
  </si>
  <si>
    <t xml:space="preserve">Treating as if it matters — adds noise, no signal.</t>
  </si>
  <si>
    <t xml:space="preserve">Sex</t>
  </si>
  <si>
    <t xml:space="preserve">Weak</t>
  </si>
  <si>
    <t xml:space="preserve">Baker 2022: sex not a significant independent predictor of sweat [Na+] once other factors controlled. Women slightly lower sweat rates on average but huge overlap.</t>
  </si>
  <si>
    <t xml:space="preserve">Use as a small prior on baseline sweat rate only (F: ~0.85× M). Not on [Na+].</t>
  </si>
  <si>
    <t xml:space="preserve">Large sex-based adjustments — unjustified by data.</t>
  </si>
  <si>
    <t xml:space="preserve">Age</t>
  </si>
  <si>
    <t xml:space="preserve">Baker 2022: age group not significant in the model. Youth athletes are a separate track.</t>
  </si>
  <si>
    <t xml:space="preserve">Exclude unless user is &lt;18 (then separate ruleset, lower intensities).</t>
  </si>
  <si>
    <t xml:space="preserve">Aggressive age-based adjustments for adults.</t>
  </si>
  <si>
    <t xml:space="preserve">Sweat rate (self-reported or measured)</t>
  </si>
  <si>
    <t xml:space="preserve">YES — primary driver</t>
  </si>
  <si>
    <t xml:space="preserve">ACSM 2007, NATA 2017: individualised sweat rate is the gold standard input.</t>
  </si>
  <si>
    <t xml:space="preserve">fluid_per_hr = sweat_rate × replacement_fraction; sodium_loss = sweat_rate × [Na+]</t>
  </si>
  <si>
    <t xml:space="preserve">Not calibrating this — relying on population defaults forever.</t>
  </si>
  <si>
    <t xml:space="preserve">Sweat [Na+] (self-reported or measured)</t>
  </si>
  <si>
    <t xml:space="preserve">Baker 2017: huge intra/inter-individual variability (200–2000 mg/L).</t>
  </si>
  <si>
    <t xml:space="preserve">Three buckets: Low &lt;30 mmol/L, Medium 30–50, High &gt;50. Default Medium for unknown users.</t>
  </si>
  <si>
    <t xml:space="preserve">Using one fixed sodium concentration for everyone.</t>
  </si>
  <si>
    <t xml:space="preserve">Distance (km)</t>
  </si>
  <si>
    <t xml:space="preserve">Indirectly (via duration)</t>
  </si>
  <si>
    <t xml:space="preserve">Duration is what matters, not raw distance.</t>
  </si>
  <si>
    <t xml:space="preserve">duration_h = distance / avg_pace. Use duration, not distance, in the model.</t>
  </si>
  <si>
    <t xml:space="preserve">Building rules on distance tiers instead of duration tiers.</t>
  </si>
  <si>
    <t xml:space="preserve">Elevation gain (m)</t>
  </si>
  <si>
    <t xml:space="preserve">Yes (via intensity)</t>
  </si>
  <si>
    <t xml:space="preserve">Yes (via intensity → sweat rate)</t>
  </si>
  <si>
    <t xml:space="preserve">Elevation raises average power output, which raises heat production and sweat rate.</t>
  </si>
  <si>
    <t xml:space="preserve">intensity_adjustment = f(elevation_per_km). Running ~10 m/km adds ~5% intensity; cycling differs.</t>
  </si>
  <si>
    <t xml:space="preserve">Ignoring elevation; treating flat 100km and hilly 100km identically.</t>
  </si>
  <si>
    <t xml:space="preserve">Expected finish time / pace</t>
  </si>
  <si>
    <t xml:space="preserve">YES — primary (duration tier)</t>
  </si>
  <si>
    <t xml:space="preserve">Jeukendrup 2014: CHO tiers are duration-based. Intensity is the master knob.</t>
  </si>
  <si>
    <t xml:space="preserve">Compute intensity proxy from expected_pace / athlete_threshold_pace. Map to Easy/Moderate/Hard.</t>
  </si>
  <si>
    <t xml:space="preserve">Not asking the user for expected time — critical missing input.</t>
  </si>
  <si>
    <t xml:space="preserve">Air temperature (°C)</t>
  </si>
  <si>
    <t xml:space="preserve">YES — strong</t>
  </si>
  <si>
    <t xml:space="preserve">YES — strong (via sweat rate, not [Na+])</t>
  </si>
  <si>
    <t xml:space="preserve">Casa 2015, Baker 2022: temp drives sweat volume; effect on [Na+] runs through acclimatisation, not acute heat.</t>
  </si>
  <si>
    <t xml:space="preserve">heat_multiplier: 1.0 &lt;18°C; 1.2 18-25°C; 1.5 25-30°C; 1.8 30-35°C; 2.0+ &gt;35°C. Applied to sweat_rate.</t>
  </si>
  <si>
    <t xml:space="preserve">Applying heat directly to [Na+] instead of to sweat rate.</t>
  </si>
  <si>
    <t xml:space="preserve">Humidity (%RH)</t>
  </si>
  <si>
    <t xml:space="preserve">Yes</t>
  </si>
  <si>
    <t xml:space="preserve">Impairs evaporative cooling → sweat output rises without cooling benefit.</t>
  </si>
  <si>
    <t xml:space="preserve">If RH &gt; 70%, add 20% to sweat_rate estimate.</t>
  </si>
  <si>
    <t xml:space="preserve">Either ignoring humidity or over-weighting it.</t>
  </si>
  <si>
    <t xml:space="preserve">Heat acclimatisation status</t>
  </si>
  <si>
    <t xml:space="preserve">Small</t>
  </si>
  <si>
    <t xml:space="preserve">Baker 2022: acclimatisation is a top-3 predictor of sweat [Na+]. Acclimatised athletes conserve sodium.</t>
  </si>
  <si>
    <t xml:space="preserve">Acclimatised: shift [Na+] bucket down one. First 10-14 days of heat season: shift up one.</t>
  </si>
  <si>
    <t xml:space="preserve">Not asking about acclimatisation at all.</t>
  </si>
  <si>
    <t xml:space="preserve">Gut training / carb tolerance history</t>
  </si>
  <si>
    <t xml:space="preserve">YES — as a ceiling cap</t>
  </si>
  <si>
    <t xml:space="preserve">Yes (as a cap)</t>
  </si>
  <si>
    <t xml:space="preserve">Jeukendrup 2017, Costa 2017, Martinez 2023: gut tolerance is trainable but finite.</t>
  </si>
  <si>
    <t xml:space="preserve">effective_carb = MIN(tier_recommendation, gut_ceiling). Default ceiling 60 g/h for untrained users.</t>
  </si>
  <si>
    <t xml:space="preserve">Prescribing 90 g/h to a gut-untrained user → GI failure in race.</t>
  </si>
  <si>
    <t xml:space="preserve">Sport (run vs cycle)</t>
  </si>
  <si>
    <t xml:space="preserve">Same tiers</t>
  </si>
  <si>
    <t xml:space="preserve">Different baselines</t>
  </si>
  <si>
    <t xml:space="preserve">Running has higher metabolic cost per speed; cyclists often tolerate more carbs (upright torso, less GI jostling).</t>
  </si>
  <si>
    <t xml:space="preserve">Sport-specific baseline sweat rates. Sport-specific intensity → sweat_rate coefficients.</t>
  </si>
  <si>
    <t xml:space="preserve">Treating running and cycling identically.</t>
  </si>
  <si>
    <t xml:space="preserve">Sodium Model — Live Worked Example</t>
  </si>
  <si>
    <t xml:space="preserve">Edit the yellow input cells to see the sodium target recompute. Black = formula, blue = input.</t>
  </si>
  <si>
    <t xml:space="preserve">INPUTS</t>
  </si>
  <si>
    <t xml:space="preserve">Sport</t>
  </si>
  <si>
    <t xml:space="preserve">cycling</t>
  </si>
  <si>
    <t xml:space="preserve">running or cycling</t>
  </si>
  <si>
    <t xml:space="preserve">Baseline sweat rate (L/h)</t>
  </si>
  <si>
    <t xml:space="preserve">Population prior: running 1.0, cycling 0.9 at moderate/20°C</t>
  </si>
  <si>
    <t xml:space="preserve">Event conditions</t>
  </si>
  <si>
    <t xml:space="preserve">Heat acclimatised? (1=yes, 0=no)</t>
  </si>
  <si>
    <t xml:space="preserve">1 if regularly training in 30°C+ for 2+ weeks</t>
  </si>
  <si>
    <t xml:space="preserve">First 10-14 days of heat season? (1/0)</t>
  </si>
  <si>
    <t xml:space="preserve">1 if early season — temporarily higher [Na+]</t>
  </si>
  <si>
    <t xml:space="preserve">Sweat [Na+] baseline bucket (mmol/L)</t>
  </si>
  <si>
    <t xml:space="preserve">Low 25, Medium 40, High 55. Default 40 if unknown.</t>
  </si>
  <si>
    <t xml:space="preserve">Intensity (1=easy, 2=moderate, 3=hard)</t>
  </si>
  <si>
    <t xml:space="preserve">Easy &lt;65% VO2max, Mod 65-80%, Hard &gt;80%</t>
  </si>
  <si>
    <t xml:space="preserve">Event duration (h)</t>
  </si>
  <si>
    <t xml:space="preserve">Total expected finish time</t>
  </si>
  <si>
    <t xml:space="preserve">CALCULATIONS</t>
  </si>
  <si>
    <t xml:space="preserve">Heat multiplier</t>
  </si>
  <si>
    <t xml:space="preserve">From temp: &lt;18=1.0, &lt;25=1.2, &lt;30=1.5, &lt;35=1.8, &gt;=35=2.1</t>
  </si>
  <si>
    <t xml:space="preserve">Humidity adjustment</t>
  </si>
  <si>
    <t xml:space="preserve">+20% if RH &gt; 70%</t>
  </si>
  <si>
    <t xml:space="preserve">Estimated sweat rate (L/h)</t>
  </si>
  <si>
    <t xml:space="preserve">baseline × heat × humidity</t>
  </si>
  <si>
    <t xml:space="preserve">Intensity [Na+] multiplier</t>
  </si>
  <si>
    <t xml:space="preserve">Holmes 2016: 1.0 easy, 1.2 mod, 1.5 hard</t>
  </si>
  <si>
    <t xml:space="preserve">Acclimatisation adjustment to [Na+]</t>
  </si>
  <si>
    <t xml:space="preserve">Acclimatised: −20%. First heat period: +15%.</t>
  </si>
  <si>
    <t xml:space="preserve">Effective sweat [Na+] (mmol/L)</t>
  </si>
  <si>
    <t xml:space="preserve">baseline × intensity × acclimatisation</t>
  </si>
  <si>
    <t xml:space="preserve">Effective sweat [Na+] (mg/L)</t>
  </si>
  <si>
    <t xml:space="preserve">Convert mmol/L to mg/L (Na molecular weight ~23 g/mol)</t>
  </si>
  <si>
    <t xml:space="preserve">Sodium loss per hour (mg/h)</t>
  </si>
  <si>
    <t xml:space="preserve">sweat_rate × [Na+]</t>
  </si>
  <si>
    <t xml:space="preserve">Replacement fraction</t>
  </si>
  <si>
    <t xml:space="preserve">&lt;2h: 30% (meals cover it). 2-4h: 60%. 4-6h: 75%. 6h+: 90%.</t>
  </si>
  <si>
    <t xml:space="preserve">Sodium target (mg/h) — raw model</t>
  </si>
  <si>
    <t xml:space="preserve">loss × replacement_fraction</t>
  </si>
  <si>
    <t xml:space="preserve">Sodium target (mg/h) — with floor/ceiling</t>
  </si>
  <si>
    <t xml:space="preserve">Floor 300 for events &gt;2h. Ceiling 2000 without sweat test confirmation.</t>
  </si>
  <si>
    <t xml:space="preserve">OUTPUT</t>
  </si>
  <si>
    <t xml:space="preserve">RECOMMENDED SODIUM (mg/h)</t>
  </si>
  <si>
    <t xml:space="preserve">Total sodium over event (mg)</t>
  </si>
  <si>
    <t xml:space="preserve">Hyponatremia warning check</t>
  </si>
  <si>
    <t xml:space="preserve">Carbohydrate &amp; Fluid Reference Tiers</t>
  </si>
  <si>
    <t xml:space="preserve">CARBOHYDRATE TIERS</t>
  </si>
  <si>
    <t xml:space="preserve">Duration</t>
  </si>
  <si>
    <t xml:space="preserve">Intensity</t>
  </si>
  <si>
    <t xml:space="preserve">Carb (g/h)</t>
  </si>
  <si>
    <t xml:space="preserve">Type</t>
  </si>
  <si>
    <t xml:space="preserve">Mechanism</t>
  </si>
  <si>
    <t xml:space="preserve">Notes</t>
  </si>
  <si>
    <t xml:space="preserve">&lt; 30 min</t>
  </si>
  <si>
    <t xml:space="preserve">Any</t>
  </si>
  <si>
    <t xml:space="preserve">0 (or rinse)</t>
  </si>
  <si>
    <t xml:space="preserve">—</t>
  </si>
  <si>
    <t xml:space="preserve">No metabolic benefit</t>
  </si>
  <si>
    <t xml:space="preserve">Can use CHO mouth rinse for perceived effort.</t>
  </si>
  <si>
    <t xml:space="preserve">30-75 min</t>
  </si>
  <si>
    <t xml:space="preserve">High</t>
  </si>
  <si>
    <t xml:space="preserve">20-30 or rinse</t>
  </si>
  <si>
    <t xml:space="preserve">Central / neurological</t>
  </si>
  <si>
    <t xml:space="preserve">Benefit is CNS-mediated, not substrate.</t>
  </si>
  <si>
    <t xml:space="preserve">1-2 h</t>
  </si>
  <si>
    <t xml:space="preserve">30-60</t>
  </si>
  <si>
    <t xml:space="preserve">Any single source</t>
  </si>
  <si>
    <t xml:space="preserve">SGLT1 transporter</t>
  </si>
  <si>
    <t xml:space="preserve">Below saturation of single-transporter pathway.</t>
  </si>
  <si>
    <t xml:space="preserve">2-3 h</t>
  </si>
  <si>
    <t xml:space="preserve">Moderate-Hard</t>
  </si>
  <si>
    <t xml:space="preserve">60-90</t>
  </si>
  <si>
    <t xml:space="preserve">Glucose:fructose 2:1</t>
  </si>
  <si>
    <t xml:space="preserve">SGLT1 + GLUT5</t>
  </si>
  <si>
    <t xml:space="preserve">Multi-transportable above 60 g/h.</t>
  </si>
  <si>
    <t xml:space="preserve">&gt;3 h (ultra)</t>
  </si>
  <si>
    <t xml:space="preserve">Moderate</t>
  </si>
  <si>
    <t xml:space="preserve">G:F 1:0.8 preferred</t>
  </si>
  <si>
    <t xml:space="preserve">Lower intensity → lower end of range.</t>
  </si>
  <si>
    <t xml:space="preserve">Hard</t>
  </si>
  <si>
    <t xml:space="preserve">90-120</t>
  </si>
  <si>
    <t xml:space="preserve">G:F 1:0.8</t>
  </si>
  <si>
    <t xml:space="preserve">Requires gut training. Elite only.</t>
  </si>
  <si>
    <t xml:space="preserve">FLUID BASELINE BY SPORT &amp; CONDITIONS</t>
  </si>
  <si>
    <t xml:space="preserve">Temp Range</t>
  </si>
  <si>
    <t xml:space="preserve">Baseline Sweat Rate (L/h)</t>
  </si>
  <si>
    <t xml:space="preserve">Target Fluid (L/h)</t>
  </si>
  <si>
    <t xml:space="preserve">Running</t>
  </si>
  <si>
    <t xml:space="preserve">15-25°C</t>
  </si>
  <si>
    <t xml:space="preserve">0.8-1.2</t>
  </si>
  <si>
    <t xml:space="preserve">0.5-0.8</t>
  </si>
  <si>
    <t xml:space="preserve">Replace ~60-70% of sweat losses.</t>
  </si>
  <si>
    <t xml:space="preserve">25-30°C</t>
  </si>
  <si>
    <t xml:space="preserve">1.2-1.8</t>
  </si>
  <si>
    <t xml:space="preserve">0.7-1.1</t>
  </si>
  <si>
    <t xml:space="preserve">Upper bound limited by gastric emptying.</t>
  </si>
  <si>
    <t xml:space="preserve">&gt;30°C</t>
  </si>
  <si>
    <t xml:space="preserve">1.5-2.5</t>
  </si>
  <si>
    <t xml:space="preserve">Prioritise cooling; accept some deficit.</t>
  </si>
  <si>
    <t xml:space="preserve">Cycling</t>
  </si>
  <si>
    <t xml:space="preserve">0.6-1.0</t>
  </si>
  <si>
    <t xml:space="preserve">0.4-0.7</t>
  </si>
  <si>
    <t xml:space="preserve">Easier to carry and drink on bike.</t>
  </si>
  <si>
    <t xml:space="preserve">1.0-1.5</t>
  </si>
  <si>
    <t xml:space="preserve">1.2-2.0</t>
  </si>
  <si>
    <t xml:space="preserve">SODIUM REPLACEMENT FRACTION BY DURATION</t>
  </si>
  <si>
    <t xml:space="preserve">Replacement Fraction</t>
  </si>
  <si>
    <t xml:space="preserve">Rationale</t>
  </si>
  <si>
    <t xml:space="preserve">&lt; 2 h</t>
  </si>
  <si>
    <t xml:space="preserve">0-30%</t>
  </si>
  <si>
    <t xml:space="preserve">Meals before/after cover it. Only for cramp-prone users.</t>
  </si>
  <si>
    <t xml:space="preserve">2-4 h</t>
  </si>
  <si>
    <t xml:space="preserve">50-70%</t>
  </si>
  <si>
    <t xml:space="preserve">Start matching losses; not full replacement needed.</t>
  </si>
  <si>
    <t xml:space="preserve">4-6 h</t>
  </si>
  <si>
    <t xml:space="preserve">70-80%</t>
  </si>
  <si>
    <t xml:space="preserve">Cumulative deficit matters; match more closely.</t>
  </si>
  <si>
    <t xml:space="preserve">&gt; 6 h (ultra)</t>
  </si>
  <si>
    <t xml:space="preserve">80-100%</t>
  </si>
  <si>
    <t xml:space="preserve">Full replacement becomes critical for hyponatremia safety.</t>
  </si>
  <si>
    <t xml:space="preserve">Evidence Library — Source Papers</t>
  </si>
  <si>
    <t xml:space="preserve">#</t>
  </si>
  <si>
    <t xml:space="preserve">Paper</t>
  </si>
  <si>
    <t xml:space="preserve">Year</t>
  </si>
  <si>
    <t xml:space="preserve">Journal / Citation</t>
  </si>
  <si>
    <t xml:space="preserve">Use in Fuelcue</t>
  </si>
  <si>
    <t xml:space="preserve">Thomas DT, Erdman KA, Burke LM — ACSM Joint Position Statement: Nutrition and Athletic Performance</t>
  </si>
  <si>
    <t xml:space="preserve">Med Sci Sports Exerc 48(3):543-568</t>
  </si>
  <si>
    <t xml:space="preserve">Foundational consensus on CHO/fluid/protein targets by duration/intensity.</t>
  </si>
  <si>
    <t xml:space="preserve">Jeukendrup AE — A Step Towards Personalized Sports Nutrition: CHO Intake During Exercise</t>
  </si>
  <si>
    <t xml:space="preserve">Sports Med 44(S1):S25-S33</t>
  </si>
  <si>
    <t xml:space="preserve">The tier table. Absolute g/h, not per kg. Multi-transportable rule.</t>
  </si>
  <si>
    <t xml:space="preserve">Burke LM, Hawley JA, Wong SHS, Jeukendrup AE — Carbohydrates for training and competition</t>
  </si>
  <si>
    <t xml:space="preserve">J Sports Sci 29(S1):S17-S27</t>
  </si>
  <si>
    <t xml:space="preserve">IOC consensus on daily and in-session carb needs.</t>
  </si>
  <si>
    <t xml:space="preserve">Jeukendrup AE — Nutrition for endurance sports: marathon, triathlon, road cycling</t>
  </si>
  <si>
    <t xml:space="preserve">J Sports Sci 29(S1):S91-S99</t>
  </si>
  <si>
    <t xml:space="preserve">Sport-specific framing. Direct application to Fuelcue user segments.</t>
  </si>
  <si>
    <t xml:space="preserve">Stellingwerff T, Cox GR — Systematic review: CHO supplementation and exercise</t>
  </si>
  <si>
    <t xml:space="preserve">Appl Physiol Nutr Metab 39(9):998-1011</t>
  </si>
  <si>
    <t xml:space="preserve">Quantifies performance benefit (82% of studies show effect).</t>
  </si>
  <si>
    <t xml:space="preserve">Sawka MN et al. — ACSM Position Stand: Exercise and Fluid Replacement</t>
  </si>
  <si>
    <t xml:space="preserve">Med Sci Sports Exerc 39(2):377-390</t>
  </si>
  <si>
    <t xml:space="preserve">Foundational hydration consensus. &lt;2% body mass loss target.</t>
  </si>
  <si>
    <t xml:space="preserve">McDermott BP et al. — NATA Position Statement: Fluid Replacement for the Physically Active</t>
  </si>
  <si>
    <t xml:space="preserve">J Athl Train 52(9):877-895</t>
  </si>
  <si>
    <t xml:space="preserve">Current practical framework. Under- and over-hydration guardrails.</t>
  </si>
  <si>
    <t xml:space="preserve">Casa DJ et al. — NATA Position Statement: Fluid Replacement for Athletes</t>
  </si>
  <si>
    <t xml:space="preserve">J Athl Train 35(2):212-224</t>
  </si>
  <si>
    <t xml:space="preserve">Sweat rate calibration formula.</t>
  </si>
  <si>
    <t xml:space="preserve">Baker LB — Sweating Rate and Sweat Sodium Concentration in Athletes</t>
  </si>
  <si>
    <t xml:space="preserve">Sports Med 47(S1):111-128</t>
  </si>
  <si>
    <t xml:space="preserve">The variability review. Justifies the 3-bucket approach.</t>
  </si>
  <si>
    <t xml:space="preserve">Barnes KA et al. — Normative data for sweat rate, [Na+], and sodium loss by sport</t>
  </si>
  <si>
    <t xml:space="preserve">J Sports Sci 37(20):2356-2366</t>
  </si>
  <si>
    <t xml:space="preserve">The population priors. Use for defaults before user calibration.</t>
  </si>
  <si>
    <t xml:space="preserve">Baker LB et al. — Explaining variation in sweat [Na+]</t>
  </si>
  <si>
    <t xml:space="preserve">J Appl Physiol</t>
  </si>
  <si>
    <t xml:space="preserve">Which inputs actually predict [Na+]. Energy expenditure, sweat rate, acclimatisation win.</t>
  </si>
  <si>
    <t xml:space="preserve">Holmes N et al. — Effect of intensity on sweat rate and [Na+] losses</t>
  </si>
  <si>
    <t xml:space="preserve">Ann Sports Med Res</t>
  </si>
  <si>
    <t xml:space="preserve">Evidence for the intensity multiplier on [Na+].</t>
  </si>
  <si>
    <t xml:space="preserve">McCubbin AJ, Costa RJS — Impact of sodium ingestion on endurance performance (systematic review)</t>
  </si>
  <si>
    <t xml:space="preserve">Int J Sports Sci</t>
  </si>
  <si>
    <t xml:space="preserve">Replacement fraction modelling. When sodium matters.</t>
  </si>
  <si>
    <t xml:space="preserve">Casa DJ et al. — NATA Position Statement: Exertional Heat Illnesses</t>
  </si>
  <si>
    <t xml:space="preserve">J Athl Train 50(9):986-1000</t>
  </si>
  <si>
    <t xml:space="preserve">Heat-illness guardrails. &gt;2 L/h sweat rate flag.</t>
  </si>
  <si>
    <t xml:space="preserve">Hew-Butler T et al. — 3rd Int Exercise-Associated Hyponatremia Consensus</t>
  </si>
  <si>
    <t xml:space="preserve">Clin J Sport Med</t>
  </si>
  <si>
    <t xml:space="preserve">Hyponatremia upper bound on fluid recommendations.</t>
  </si>
  <si>
    <t xml:space="preserve">Jeukendrup AE — Training the Gut for Athletes</t>
  </si>
  <si>
    <t xml:space="preserve">Sports Med 47(S1):101-110</t>
  </si>
  <si>
    <t xml:space="preserve">Gut tolerance is trainable and finite. Basis for gut ceiling cap.</t>
  </si>
  <si>
    <t xml:space="preserve">Martinez IG et al. — Gut-training and feeding-challenge systematic review</t>
  </si>
  <si>
    <t xml:space="preserve">Sports Med 53(6):1175-1200</t>
  </si>
  <si>
    <t xml:space="preserve">Recent systematic review. Gut adaptation improves symptoms and performance.</t>
  </si>
  <si>
    <t xml:space="preserve">Costa RJS et al. — Gut-training: two weeks repetitive gut-challenge</t>
  </si>
  <si>
    <t xml:space="preserve">Appl Physiol Nutr Metab 42(5):547-557</t>
  </si>
  <si>
    <t xml:space="preserve">5% performance improvement from gut training. Evidence it works fast.</t>
  </si>
  <si>
    <t xml:space="preserve">Burke LM et al. — IAAF Consensus Statement 2019: Nutrition for Athletics</t>
  </si>
  <si>
    <t xml:space="preserve">IJSNEM 29(2):73-84</t>
  </si>
  <si>
    <t xml:space="preserve">Sport-specific consensus for running. Benchmark reference.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</si>
</sst>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4"/>
    <col collapsed="false" customWidth="true" hidden="false" outlineLevel="0" max="6" min="5" style="1" width="42"/>
    <col collapsed="false" customWidth="true" hidden="false" outlineLevel="0" max="7" min="7" style="1" width="3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26.2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75" hidden="false" customHeight="true" outlineLevel="0" collapsed="false">
      <c r="A5" s="6" t="s">
        <v>9</v>
      </c>
      <c r="B5" s="6" t="s">
        <v>10</v>
      </c>
      <c r="C5" s="6" t="s">
        <v>11</v>
      </c>
      <c r="D5" s="6" t="s">
        <v>11</v>
      </c>
      <c r="E5" s="6" t="s">
        <v>12</v>
      </c>
      <c r="F5" s="6" t="s">
        <v>13</v>
      </c>
      <c r="G5" s="6" t="s">
        <v>14</v>
      </c>
    </row>
    <row r="6" customFormat="false" ht="75" hidden="false" customHeight="true" outlineLevel="0" collapsed="false">
      <c r="A6" s="6" t="s">
        <v>15</v>
      </c>
      <c r="B6" s="6" t="s">
        <v>10</v>
      </c>
      <c r="C6" s="6" t="s">
        <v>10</v>
      </c>
      <c r="D6" s="6" t="s">
        <v>10</v>
      </c>
      <c r="E6" s="6" t="s">
        <v>16</v>
      </c>
      <c r="F6" s="6" t="s">
        <v>17</v>
      </c>
      <c r="G6" s="6" t="s">
        <v>18</v>
      </c>
    </row>
    <row r="7" customFormat="false" ht="75" hidden="false" customHeight="true" outlineLevel="0" collapsed="false">
      <c r="A7" s="6" t="s">
        <v>19</v>
      </c>
      <c r="B7" s="6" t="s">
        <v>10</v>
      </c>
      <c r="C7" s="6" t="s">
        <v>20</v>
      </c>
      <c r="D7" s="6" t="s">
        <v>20</v>
      </c>
      <c r="E7" s="6" t="s">
        <v>21</v>
      </c>
      <c r="F7" s="6" t="s">
        <v>22</v>
      </c>
      <c r="G7" s="6" t="s">
        <v>23</v>
      </c>
    </row>
    <row r="8" customFormat="false" ht="75" hidden="false" customHeight="true" outlineLevel="0" collapsed="false">
      <c r="A8" s="6" t="s">
        <v>24</v>
      </c>
      <c r="B8" s="6" t="s">
        <v>10</v>
      </c>
      <c r="C8" s="6" t="s">
        <v>20</v>
      </c>
      <c r="D8" s="6" t="s">
        <v>10</v>
      </c>
      <c r="E8" s="6" t="s">
        <v>25</v>
      </c>
      <c r="F8" s="6" t="s">
        <v>26</v>
      </c>
      <c r="G8" s="6" t="s">
        <v>27</v>
      </c>
    </row>
    <row r="9" customFormat="false" ht="75" hidden="false" customHeight="true" outlineLevel="0" collapsed="false">
      <c r="A9" s="6" t="s">
        <v>28</v>
      </c>
      <c r="B9" s="6" t="s">
        <v>10</v>
      </c>
      <c r="C9" s="6" t="s">
        <v>29</v>
      </c>
      <c r="D9" s="6" t="s">
        <v>29</v>
      </c>
      <c r="E9" s="6" t="s">
        <v>30</v>
      </c>
      <c r="F9" s="6" t="s">
        <v>31</v>
      </c>
      <c r="G9" s="6" t="s">
        <v>32</v>
      </c>
    </row>
    <row r="10" customFormat="false" ht="75" hidden="false" customHeight="true" outlineLevel="0" collapsed="false">
      <c r="A10" s="6" t="s">
        <v>33</v>
      </c>
      <c r="B10" s="6" t="s">
        <v>10</v>
      </c>
      <c r="C10" s="6" t="s">
        <v>10</v>
      </c>
      <c r="D10" s="6" t="s">
        <v>29</v>
      </c>
      <c r="E10" s="6" t="s">
        <v>34</v>
      </c>
      <c r="F10" s="6" t="s">
        <v>35</v>
      </c>
      <c r="G10" s="6" t="s">
        <v>36</v>
      </c>
    </row>
    <row r="11" customFormat="false" ht="75" hidden="false" customHeight="true" outlineLevel="0" collapsed="false">
      <c r="A11" s="6" t="s">
        <v>37</v>
      </c>
      <c r="B11" s="6" t="s">
        <v>38</v>
      </c>
      <c r="C11" s="6" t="s">
        <v>38</v>
      </c>
      <c r="D11" s="6" t="s">
        <v>38</v>
      </c>
      <c r="E11" s="6" t="s">
        <v>39</v>
      </c>
      <c r="F11" s="6" t="s">
        <v>40</v>
      </c>
      <c r="G11" s="6" t="s">
        <v>41</v>
      </c>
    </row>
    <row r="12" customFormat="false" ht="75" hidden="false" customHeight="true" outlineLevel="0" collapsed="false">
      <c r="A12" s="6" t="s">
        <v>42</v>
      </c>
      <c r="B12" s="6" t="s">
        <v>43</v>
      </c>
      <c r="C12" s="6" t="s">
        <v>44</v>
      </c>
      <c r="D12" s="6" t="s">
        <v>44</v>
      </c>
      <c r="E12" s="6" t="s">
        <v>45</v>
      </c>
      <c r="F12" s="6" t="s">
        <v>46</v>
      </c>
      <c r="G12" s="6" t="s">
        <v>47</v>
      </c>
    </row>
    <row r="13" customFormat="false" ht="75" hidden="false" customHeight="true" outlineLevel="0" collapsed="false">
      <c r="A13" s="6" t="s">
        <v>48</v>
      </c>
      <c r="B13" s="6" t="s">
        <v>49</v>
      </c>
      <c r="C13" s="6" t="s">
        <v>43</v>
      </c>
      <c r="D13" s="6" t="s">
        <v>43</v>
      </c>
      <c r="E13" s="6" t="s">
        <v>50</v>
      </c>
      <c r="F13" s="6" t="s">
        <v>51</v>
      </c>
      <c r="G13" s="6" t="s">
        <v>52</v>
      </c>
    </row>
    <row r="14" customFormat="false" ht="75" hidden="false" customHeight="true" outlineLevel="0" collapsed="false">
      <c r="A14" s="6" t="s">
        <v>53</v>
      </c>
      <c r="B14" s="6" t="s">
        <v>10</v>
      </c>
      <c r="C14" s="6" t="s">
        <v>54</v>
      </c>
      <c r="D14" s="6" t="s">
        <v>55</v>
      </c>
      <c r="E14" s="6" t="s">
        <v>56</v>
      </c>
      <c r="F14" s="6" t="s">
        <v>57</v>
      </c>
      <c r="G14" s="6" t="s">
        <v>58</v>
      </c>
    </row>
    <row r="15" customFormat="false" ht="75" hidden="false" customHeight="true" outlineLevel="0" collapsed="false">
      <c r="A15" s="6" t="s">
        <v>59</v>
      </c>
      <c r="B15" s="6" t="s">
        <v>20</v>
      </c>
      <c r="C15" s="6" t="s">
        <v>60</v>
      </c>
      <c r="D15" s="6" t="s">
        <v>20</v>
      </c>
      <c r="E15" s="6" t="s">
        <v>61</v>
      </c>
      <c r="F15" s="6" t="s">
        <v>62</v>
      </c>
      <c r="G15" s="6" t="s">
        <v>63</v>
      </c>
    </row>
    <row r="16" customFormat="false" ht="75" hidden="false" customHeight="true" outlineLevel="0" collapsed="false">
      <c r="A16" s="6" t="s">
        <v>64</v>
      </c>
      <c r="B16" s="6" t="s">
        <v>65</v>
      </c>
      <c r="C16" s="6" t="s">
        <v>20</v>
      </c>
      <c r="D16" s="6" t="s">
        <v>54</v>
      </c>
      <c r="E16" s="6" t="s">
        <v>66</v>
      </c>
      <c r="F16" s="6" t="s">
        <v>67</v>
      </c>
      <c r="G16" s="6" t="s">
        <v>68</v>
      </c>
    </row>
    <row r="17" customFormat="false" ht="75" hidden="false" customHeight="true" outlineLevel="0" collapsed="false">
      <c r="A17" s="6" t="s">
        <v>69</v>
      </c>
      <c r="B17" s="6" t="s">
        <v>70</v>
      </c>
      <c r="C17" s="6" t="s">
        <v>71</v>
      </c>
      <c r="D17" s="6" t="s">
        <v>65</v>
      </c>
      <c r="E17" s="6" t="s">
        <v>72</v>
      </c>
      <c r="F17" s="6" t="s">
        <v>73</v>
      </c>
      <c r="G17" s="6" t="s">
        <v>74</v>
      </c>
    </row>
    <row r="18" customFormat="false" ht="75" hidden="false" customHeight="true" outlineLevel="0" collapsed="false">
      <c r="A18" s="6" t="s">
        <v>75</v>
      </c>
      <c r="B18" s="6" t="s">
        <v>76</v>
      </c>
      <c r="C18" s="6" t="s">
        <v>77</v>
      </c>
      <c r="D18" s="6" t="s">
        <v>77</v>
      </c>
      <c r="E18" s="6" t="s">
        <v>78</v>
      </c>
      <c r="F18" s="6" t="s">
        <v>79</v>
      </c>
      <c r="G18" s="6" t="s">
        <v>80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55"/>
    <col collapsed="false" customWidth="true" hidden="false" outlineLevel="0" max="5" min="4" style="1" width="12"/>
  </cols>
  <sheetData>
    <row r="1" customFormat="false" ht="17.25" hidden="false" customHeight="true" outlineLevel="0" collapsed="false">
      <c r="A1" s="2" t="s">
        <v>81</v>
      </c>
      <c r="B1" s="2"/>
      <c r="C1" s="2"/>
      <c r="D1" s="2"/>
      <c r="E1" s="2"/>
    </row>
    <row r="2" customFormat="false" ht="15" hidden="false" customHeight="true" outlineLevel="0" collapsed="false">
      <c r="A2" s="3" t="s">
        <v>82</v>
      </c>
      <c r="B2" s="3"/>
      <c r="C2" s="3"/>
      <c r="D2" s="3"/>
      <c r="E2" s="3"/>
    </row>
    <row r="3" customFormat="false" ht="15" hidden="false" customHeight="true" outlineLevel="0" collapsed="false">
      <c r="A3" s="4"/>
      <c r="B3" s="4"/>
      <c r="C3" s="4"/>
      <c r="D3" s="4"/>
      <c r="E3" s="4"/>
    </row>
    <row r="4" customFormat="false" ht="15" hidden="false" customHeight="true" outlineLevel="0" collapsed="false">
      <c r="A4" s="7" t="s">
        <v>83</v>
      </c>
      <c r="B4" s="7"/>
      <c r="C4" s="7"/>
      <c r="D4" s="7"/>
      <c r="E4" s="7"/>
    </row>
    <row r="5" customFormat="false" ht="15" hidden="false" customHeight="true" outlineLevel="0" collapsed="false">
      <c r="A5" s="4"/>
      <c r="B5" s="4"/>
      <c r="C5" s="4"/>
      <c r="D5" s="4"/>
      <c r="E5" s="4"/>
    </row>
    <row r="6" customFormat="false" ht="15" hidden="false" customHeight="true" outlineLevel="0" collapsed="false">
      <c r="A6" s="8" t="s">
        <v>84</v>
      </c>
      <c r="B6" s="9" t="s">
        <v>85</v>
      </c>
      <c r="C6" s="10" t="s">
        <v>86</v>
      </c>
      <c r="D6" s="4"/>
      <c r="E6" s="4"/>
    </row>
    <row r="7" customFormat="false" ht="15" hidden="false" customHeight="true" outlineLevel="0" collapsed="false">
      <c r="A7" s="8" t="s">
        <v>87</v>
      </c>
      <c r="B7" s="9" t="n">
        <v>0.9</v>
      </c>
      <c r="C7" s="10" t="s">
        <v>88</v>
      </c>
      <c r="D7" s="4"/>
      <c r="E7" s="4"/>
    </row>
    <row r="8" customFormat="false" ht="15" hidden="false" customHeight="true" outlineLevel="0" collapsed="false">
      <c r="A8" s="8" t="s">
        <v>53</v>
      </c>
      <c r="B8" s="9" t="n">
        <v>28</v>
      </c>
      <c r="C8" s="10" t="s">
        <v>89</v>
      </c>
      <c r="D8" s="4"/>
      <c r="E8" s="4"/>
    </row>
    <row r="9" customFormat="false" ht="15" hidden="false" customHeight="true" outlineLevel="0" collapsed="false">
      <c r="A9" s="8" t="s">
        <v>59</v>
      </c>
      <c r="B9" s="9" t="n">
        <v>60</v>
      </c>
      <c r="C9" s="10" t="s">
        <v>89</v>
      </c>
      <c r="D9" s="4"/>
      <c r="E9" s="4"/>
    </row>
    <row r="10" customFormat="false" ht="15" hidden="false" customHeight="true" outlineLevel="0" collapsed="false">
      <c r="A10" s="8" t="s">
        <v>90</v>
      </c>
      <c r="B10" s="9" t="n">
        <v>0</v>
      </c>
      <c r="C10" s="10" t="s">
        <v>91</v>
      </c>
      <c r="D10" s="4"/>
      <c r="E10" s="4"/>
    </row>
    <row r="11" customFormat="false" ht="15" hidden="false" customHeight="true" outlineLevel="0" collapsed="false">
      <c r="A11" s="8" t="s">
        <v>92</v>
      </c>
      <c r="B11" s="9" t="n">
        <v>0</v>
      </c>
      <c r="C11" s="10" t="s">
        <v>93</v>
      </c>
      <c r="D11" s="4"/>
      <c r="E11" s="4"/>
    </row>
    <row r="12" customFormat="false" ht="15" hidden="false" customHeight="true" outlineLevel="0" collapsed="false">
      <c r="A12" s="8" t="s">
        <v>94</v>
      </c>
      <c r="B12" s="9" t="n">
        <v>40</v>
      </c>
      <c r="C12" s="10" t="s">
        <v>95</v>
      </c>
      <c r="D12" s="4"/>
      <c r="E12" s="4"/>
    </row>
    <row r="13" customFormat="false" ht="15" hidden="false" customHeight="true" outlineLevel="0" collapsed="false">
      <c r="A13" s="8" t="s">
        <v>96</v>
      </c>
      <c r="B13" s="9" t="n">
        <v>2</v>
      </c>
      <c r="C13" s="10" t="s">
        <v>97</v>
      </c>
      <c r="D13" s="4"/>
      <c r="E13" s="4"/>
    </row>
    <row r="14" customFormat="false" ht="15" hidden="false" customHeight="true" outlineLevel="0" collapsed="false">
      <c r="A14" s="8" t="s">
        <v>98</v>
      </c>
      <c r="B14" s="9" t="n">
        <v>4</v>
      </c>
      <c r="C14" s="10" t="s">
        <v>99</v>
      </c>
      <c r="D14" s="4"/>
      <c r="E14" s="4"/>
    </row>
    <row r="15" customFormat="false" ht="15" hidden="false" customHeight="true" outlineLevel="0" collapsed="false">
      <c r="A15" s="4"/>
      <c r="B15" s="4"/>
      <c r="C15" s="4"/>
      <c r="D15" s="4"/>
      <c r="E15" s="4"/>
    </row>
    <row r="16" customFormat="false" ht="15" hidden="false" customHeight="true" outlineLevel="0" collapsed="false">
      <c r="A16" s="4"/>
      <c r="B16" s="4"/>
      <c r="C16" s="4"/>
      <c r="D16" s="4"/>
      <c r="E16" s="4"/>
    </row>
    <row r="17" customFormat="false" ht="15" hidden="false" customHeight="true" outlineLevel="0" collapsed="false">
      <c r="A17" s="7" t="s">
        <v>100</v>
      </c>
      <c r="B17" s="7"/>
      <c r="C17" s="7"/>
      <c r="D17" s="7"/>
      <c r="E17" s="7"/>
    </row>
    <row r="18" customFormat="false" ht="15" hidden="false" customHeight="true" outlineLevel="0" collapsed="false">
      <c r="A18" s="8" t="s">
        <v>101</v>
      </c>
      <c r="B18" s="11" t="n">
        <f aca="false">IF(B8&lt;18,1,IF(B8&lt;25,1.2,IF(B8&lt;30,1.5,IF(B8&lt;35,1.8,2.1))))</f>
        <v>1.5</v>
      </c>
      <c r="C18" s="10" t="s">
        <v>102</v>
      </c>
      <c r="D18" s="4"/>
      <c r="E18" s="4"/>
    </row>
    <row r="19" customFormat="false" ht="15" hidden="false" customHeight="true" outlineLevel="0" collapsed="false">
      <c r="A19" s="8" t="s">
        <v>103</v>
      </c>
      <c r="B19" s="11" t="n">
        <f aca="false">IF(B9&gt;70,1.2,1)</f>
        <v>1</v>
      </c>
      <c r="C19" s="10" t="s">
        <v>104</v>
      </c>
      <c r="D19" s="4"/>
      <c r="E19" s="4"/>
    </row>
    <row r="20" customFormat="false" ht="15" hidden="false" customHeight="true" outlineLevel="0" collapsed="false">
      <c r="A20" s="8" t="s">
        <v>105</v>
      </c>
      <c r="B20" s="11" t="n">
        <f aca="false">B7*B18*B19</f>
        <v>1.35</v>
      </c>
      <c r="C20" s="10" t="s">
        <v>106</v>
      </c>
      <c r="D20" s="4"/>
      <c r="E20" s="4"/>
    </row>
    <row r="21" customFormat="false" ht="15" hidden="false" customHeight="true" outlineLevel="0" collapsed="false">
      <c r="A21" s="8" t="s">
        <v>107</v>
      </c>
      <c r="B21" s="11" t="n">
        <f aca="false">IF(B13=1,1,IF(B13=2,1.2,1.5))</f>
        <v>1.2</v>
      </c>
      <c r="C21" s="10" t="s">
        <v>108</v>
      </c>
      <c r="D21" s="4"/>
      <c r="E21" s="4"/>
    </row>
    <row r="22" customFormat="false" ht="15" hidden="false" customHeight="true" outlineLevel="0" collapsed="false">
      <c r="A22" s="8" t="s">
        <v>109</v>
      </c>
      <c r="B22" s="11" t="n">
        <f aca="false">IF(B10=1,0.8,IF(B11=1,1.15,1))</f>
        <v>1</v>
      </c>
      <c r="C22" s="10" t="s">
        <v>110</v>
      </c>
      <c r="D22" s="4"/>
      <c r="E22" s="4"/>
    </row>
    <row r="23" customFormat="false" ht="15" hidden="false" customHeight="true" outlineLevel="0" collapsed="false">
      <c r="A23" s="8" t="s">
        <v>111</v>
      </c>
      <c r="B23" s="11" t="n">
        <f aca="false">B12*B21*B22</f>
        <v>48</v>
      </c>
      <c r="C23" s="10" t="s">
        <v>112</v>
      </c>
      <c r="D23" s="4"/>
      <c r="E23" s="4"/>
    </row>
    <row r="24" customFormat="false" ht="15" hidden="false" customHeight="true" outlineLevel="0" collapsed="false">
      <c r="A24" s="8" t="s">
        <v>113</v>
      </c>
      <c r="B24" s="11" t="n">
        <f aca="false">B23*23</f>
        <v>1104</v>
      </c>
      <c r="C24" s="10" t="s">
        <v>114</v>
      </c>
      <c r="D24" s="4"/>
      <c r="E24" s="4"/>
    </row>
    <row r="25" customFormat="false" ht="15" hidden="false" customHeight="true" outlineLevel="0" collapsed="false">
      <c r="A25" s="8" t="s">
        <v>115</v>
      </c>
      <c r="B25" s="11" t="n">
        <f aca="false">B20*B24</f>
        <v>1490.4</v>
      </c>
      <c r="C25" s="10" t="s">
        <v>116</v>
      </c>
      <c r="D25" s="4"/>
      <c r="E25" s="4"/>
    </row>
    <row r="26" customFormat="false" ht="15" hidden="false" customHeight="true" outlineLevel="0" collapsed="false">
      <c r="A26" s="8" t="s">
        <v>117</v>
      </c>
      <c r="B26" s="11" t="n">
        <f aca="false">IF(B14&lt;2,0.3,IF(B14&lt;4,0.6,IF(B14&lt;6,0.75,0.9)))</f>
        <v>0.75</v>
      </c>
      <c r="C26" s="10" t="s">
        <v>118</v>
      </c>
      <c r="D26" s="4"/>
      <c r="E26" s="4"/>
    </row>
    <row r="27" customFormat="false" ht="15" hidden="false" customHeight="true" outlineLevel="0" collapsed="false">
      <c r="A27" s="8" t="s">
        <v>119</v>
      </c>
      <c r="B27" s="11" t="n">
        <f aca="false">B25*B26</f>
        <v>1117.8</v>
      </c>
      <c r="C27" s="10" t="s">
        <v>120</v>
      </c>
      <c r="D27" s="4"/>
      <c r="E27" s="4"/>
    </row>
    <row r="28" customFormat="false" ht="15" hidden="false" customHeight="true" outlineLevel="0" collapsed="false">
      <c r="A28" s="8" t="s">
        <v>121</v>
      </c>
      <c r="B28" s="11" t="n">
        <f aca="false">MIN(2000,MAX(IF(B14&gt;2,300,0),B27))</f>
        <v>1117.8</v>
      </c>
      <c r="C28" s="10" t="s">
        <v>122</v>
      </c>
      <c r="D28" s="4"/>
      <c r="E28" s="4"/>
    </row>
    <row r="29" customFormat="false" ht="15" hidden="false" customHeight="true" outlineLevel="0" collapsed="false">
      <c r="A29" s="4"/>
      <c r="B29" s="4"/>
      <c r="C29" s="4"/>
      <c r="D29" s="4"/>
      <c r="E29" s="4"/>
    </row>
    <row r="30" customFormat="false" ht="15" hidden="false" customHeight="true" outlineLevel="0" collapsed="false">
      <c r="A30" s="7" t="s">
        <v>123</v>
      </c>
      <c r="B30" s="7"/>
      <c r="C30" s="7"/>
      <c r="D30" s="7"/>
      <c r="E30" s="7"/>
    </row>
    <row r="31" customFormat="false" ht="17.25" hidden="false" customHeight="true" outlineLevel="0" collapsed="false">
      <c r="A31" s="12" t="s">
        <v>124</v>
      </c>
      <c r="B31" s="13" t="n">
        <f aca="false">B28</f>
        <v>1117.8</v>
      </c>
      <c r="C31" s="4"/>
      <c r="D31" s="4"/>
      <c r="E31" s="4"/>
    </row>
    <row r="32" customFormat="false" ht="15" hidden="false" customHeight="true" outlineLevel="0" collapsed="false">
      <c r="A32" s="8" t="s">
        <v>125</v>
      </c>
      <c r="B32" s="11" t="n">
        <f aca="false">B31*B14</f>
        <v>4471.2</v>
      </c>
      <c r="C32" s="4"/>
      <c r="D32" s="4"/>
      <c r="E32" s="4"/>
    </row>
    <row r="33" customFormat="false" ht="15" hidden="false" customHeight="true" outlineLevel="0" collapsed="false">
      <c r="A33" s="8" t="s">
        <v>126</v>
      </c>
      <c r="B33" s="11" t="str">
        <f aca="false">IF(AND(B14&gt;4,B20*1000/B31&gt;1.5),"WARNING: fluid:sodium ratio risks hyponatremia","OK")</f>
        <v>OK</v>
      </c>
      <c r="C33" s="4"/>
      <c r="D33" s="4"/>
      <c r="E33" s="4"/>
    </row>
  </sheetData>
  <mergeCells count="5">
    <mergeCell ref="A1:E1"/>
    <mergeCell ref="A2:E2"/>
    <mergeCell ref="A4:E4"/>
    <mergeCell ref="A17:E17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16"/>
    <col collapsed="false" customWidth="true" hidden="false" outlineLevel="0" max="5" min="4" style="1" width="20"/>
    <col collapsed="false" customWidth="true" hidden="false" outlineLevel="0" max="6" min="6" style="1" width="40"/>
  </cols>
  <sheetData>
    <row r="1" customFormat="false" ht="17.25" hidden="false" customHeight="true" outlineLevel="0" collapsed="false">
      <c r="A1" s="2" t="s">
        <v>127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4"/>
      <c r="B2" s="4"/>
      <c r="C2" s="4"/>
      <c r="D2" s="4"/>
      <c r="E2" s="4"/>
      <c r="F2" s="4"/>
    </row>
    <row r="3" customFormat="false" ht="15" hidden="false" customHeight="true" outlineLevel="0" collapsed="false">
      <c r="A3" s="7" t="s">
        <v>128</v>
      </c>
      <c r="B3" s="7"/>
      <c r="C3" s="7"/>
      <c r="D3" s="7"/>
      <c r="E3" s="7"/>
      <c r="F3" s="7"/>
    </row>
    <row r="4" customFormat="false" ht="15" hidden="false" customHeight="true" outlineLevel="0" collapsed="false">
      <c r="A4" s="5" t="s">
        <v>129</v>
      </c>
      <c r="B4" s="5" t="s">
        <v>130</v>
      </c>
      <c r="C4" s="5" t="s">
        <v>131</v>
      </c>
      <c r="D4" s="5" t="s">
        <v>132</v>
      </c>
      <c r="E4" s="5" t="s">
        <v>133</v>
      </c>
      <c r="F4" s="5" t="s">
        <v>134</v>
      </c>
    </row>
    <row r="5" customFormat="false" ht="15" hidden="false" customHeight="true" outlineLevel="0" collapsed="false">
      <c r="A5" s="6" t="s">
        <v>135</v>
      </c>
      <c r="B5" s="6" t="s">
        <v>136</v>
      </c>
      <c r="C5" s="6" t="s">
        <v>137</v>
      </c>
      <c r="D5" s="6" t="s">
        <v>138</v>
      </c>
      <c r="E5" s="6" t="s">
        <v>139</v>
      </c>
      <c r="F5" s="6" t="s">
        <v>140</v>
      </c>
    </row>
    <row r="6" customFormat="false" ht="15" hidden="false" customHeight="true" outlineLevel="0" collapsed="false">
      <c r="A6" s="6" t="s">
        <v>141</v>
      </c>
      <c r="B6" s="6" t="s">
        <v>142</v>
      </c>
      <c r="C6" s="6" t="s">
        <v>143</v>
      </c>
      <c r="D6" s="6" t="s">
        <v>136</v>
      </c>
      <c r="E6" s="6" t="s">
        <v>144</v>
      </c>
      <c r="F6" s="6" t="s">
        <v>145</v>
      </c>
    </row>
    <row r="7" customFormat="false" ht="15" hidden="false" customHeight="true" outlineLevel="0" collapsed="false">
      <c r="A7" s="6" t="s">
        <v>146</v>
      </c>
      <c r="B7" s="6" t="s">
        <v>136</v>
      </c>
      <c r="C7" s="6" t="s">
        <v>147</v>
      </c>
      <c r="D7" s="6" t="s">
        <v>148</v>
      </c>
      <c r="E7" s="6" t="s">
        <v>149</v>
      </c>
      <c r="F7" s="6" t="s">
        <v>150</v>
      </c>
    </row>
    <row r="8" customFormat="false" ht="15" hidden="false" customHeight="true" outlineLevel="0" collapsed="false">
      <c r="A8" s="6" t="s">
        <v>151</v>
      </c>
      <c r="B8" s="6" t="s">
        <v>152</v>
      </c>
      <c r="C8" s="6" t="s">
        <v>153</v>
      </c>
      <c r="D8" s="6" t="s">
        <v>154</v>
      </c>
      <c r="E8" s="6" t="s">
        <v>155</v>
      </c>
      <c r="F8" s="6" t="s">
        <v>156</v>
      </c>
    </row>
    <row r="9" customFormat="false" ht="15" hidden="false" customHeight="true" outlineLevel="0" collapsed="false">
      <c r="A9" s="6" t="s">
        <v>157</v>
      </c>
      <c r="B9" s="6" t="s">
        <v>158</v>
      </c>
      <c r="C9" s="6" t="s">
        <v>153</v>
      </c>
      <c r="D9" s="6" t="s">
        <v>159</v>
      </c>
      <c r="E9" s="6" t="s">
        <v>155</v>
      </c>
      <c r="F9" s="6" t="s">
        <v>160</v>
      </c>
    </row>
    <row r="10" customFormat="false" ht="15" hidden="false" customHeight="true" outlineLevel="0" collapsed="false">
      <c r="A10" s="6" t="s">
        <v>157</v>
      </c>
      <c r="B10" s="6" t="s">
        <v>161</v>
      </c>
      <c r="C10" s="6" t="s">
        <v>162</v>
      </c>
      <c r="D10" s="6" t="s">
        <v>163</v>
      </c>
      <c r="E10" s="6" t="s">
        <v>155</v>
      </c>
      <c r="F10" s="6" t="s">
        <v>164</v>
      </c>
    </row>
    <row r="11" customFormat="false" ht="15" hidden="false" customHeight="true" outlineLevel="0" collapsed="false">
      <c r="A11" s="4"/>
      <c r="B11" s="4"/>
      <c r="C11" s="4"/>
      <c r="D11" s="4"/>
      <c r="E11" s="4"/>
      <c r="F11" s="4"/>
    </row>
    <row r="12" customFormat="false" ht="15" hidden="false" customHeight="true" outlineLevel="0" collapsed="false">
      <c r="A12" s="4"/>
      <c r="B12" s="4"/>
      <c r="C12" s="4"/>
      <c r="D12" s="4"/>
      <c r="E12" s="4"/>
      <c r="F12" s="4"/>
    </row>
    <row r="13" customFormat="false" ht="15" hidden="false" customHeight="true" outlineLevel="0" collapsed="false">
      <c r="A13" s="7" t="s">
        <v>165</v>
      </c>
      <c r="B13" s="7"/>
      <c r="C13" s="7"/>
      <c r="D13" s="7"/>
      <c r="E13" s="7"/>
      <c r="F13" s="7"/>
    </row>
    <row r="14" customFormat="false" ht="26.25" hidden="false" customHeight="true" outlineLevel="0" collapsed="false">
      <c r="A14" s="5" t="s">
        <v>84</v>
      </c>
      <c r="B14" s="5" t="s">
        <v>130</v>
      </c>
      <c r="C14" s="5" t="s">
        <v>166</v>
      </c>
      <c r="D14" s="5" t="s">
        <v>167</v>
      </c>
      <c r="E14" s="5" t="s">
        <v>168</v>
      </c>
      <c r="F14" s="5" t="s">
        <v>134</v>
      </c>
    </row>
    <row r="15" customFormat="false" ht="15" hidden="false" customHeight="true" outlineLevel="0" collapsed="false">
      <c r="A15" s="6" t="s">
        <v>169</v>
      </c>
      <c r="B15" s="6" t="s">
        <v>158</v>
      </c>
      <c r="C15" s="6" t="s">
        <v>170</v>
      </c>
      <c r="D15" s="6" t="s">
        <v>171</v>
      </c>
      <c r="E15" s="6" t="s">
        <v>172</v>
      </c>
      <c r="F15" s="6" t="s">
        <v>173</v>
      </c>
    </row>
    <row r="16" customFormat="false" ht="15" hidden="false" customHeight="true" outlineLevel="0" collapsed="false">
      <c r="A16" s="6" t="s">
        <v>169</v>
      </c>
      <c r="B16" s="6" t="s">
        <v>161</v>
      </c>
      <c r="C16" s="6" t="s">
        <v>174</v>
      </c>
      <c r="D16" s="6" t="s">
        <v>175</v>
      </c>
      <c r="E16" s="6" t="s">
        <v>176</v>
      </c>
      <c r="F16" s="6" t="s">
        <v>177</v>
      </c>
    </row>
    <row r="17" customFormat="false" ht="15" hidden="false" customHeight="true" outlineLevel="0" collapsed="false">
      <c r="A17" s="6" t="s">
        <v>169</v>
      </c>
      <c r="B17" s="6" t="s">
        <v>161</v>
      </c>
      <c r="C17" s="6" t="s">
        <v>178</v>
      </c>
      <c r="D17" s="6" t="s">
        <v>179</v>
      </c>
      <c r="E17" s="6" t="s">
        <v>171</v>
      </c>
      <c r="F17" s="6" t="s">
        <v>180</v>
      </c>
    </row>
    <row r="18" customFormat="false" ht="15" hidden="false" customHeight="true" outlineLevel="0" collapsed="false">
      <c r="A18" s="6" t="s">
        <v>181</v>
      </c>
      <c r="B18" s="6" t="s">
        <v>158</v>
      </c>
      <c r="C18" s="6" t="s">
        <v>170</v>
      </c>
      <c r="D18" s="6" t="s">
        <v>182</v>
      </c>
      <c r="E18" s="6" t="s">
        <v>183</v>
      </c>
      <c r="F18" s="6" t="s">
        <v>184</v>
      </c>
    </row>
    <row r="19" customFormat="false" ht="15" hidden="false" customHeight="true" outlineLevel="0" collapsed="false">
      <c r="A19" s="6" t="s">
        <v>181</v>
      </c>
      <c r="B19" s="6" t="s">
        <v>161</v>
      </c>
      <c r="C19" s="6" t="s">
        <v>174</v>
      </c>
      <c r="D19" s="6" t="s">
        <v>185</v>
      </c>
      <c r="E19" s="6" t="s">
        <v>182</v>
      </c>
      <c r="F19" s="6"/>
    </row>
    <row r="20" customFormat="false" ht="15" hidden="false" customHeight="true" outlineLevel="0" collapsed="false">
      <c r="A20" s="6" t="s">
        <v>181</v>
      </c>
      <c r="B20" s="6" t="s">
        <v>161</v>
      </c>
      <c r="C20" s="6" t="s">
        <v>178</v>
      </c>
      <c r="D20" s="6" t="s">
        <v>186</v>
      </c>
      <c r="E20" s="6" t="s">
        <v>171</v>
      </c>
      <c r="F20" s="6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</row>
    <row r="23" customFormat="false" ht="15" hidden="false" customHeight="true" outlineLevel="0" collapsed="false">
      <c r="A23" s="7" t="s">
        <v>187</v>
      </c>
      <c r="B23" s="7"/>
      <c r="C23" s="7"/>
      <c r="D23" s="7"/>
      <c r="E23" s="7"/>
      <c r="F23" s="7"/>
    </row>
    <row r="24" customFormat="false" ht="26.25" hidden="false" customHeight="true" outlineLevel="0" collapsed="false">
      <c r="A24" s="5" t="s">
        <v>129</v>
      </c>
      <c r="B24" s="5" t="s">
        <v>188</v>
      </c>
      <c r="C24" s="5" t="s">
        <v>189</v>
      </c>
      <c r="D24" s="4"/>
      <c r="E24" s="4"/>
      <c r="F24" s="4"/>
    </row>
    <row r="25" customFormat="false" ht="45.75" hidden="false" customHeight="true" outlineLevel="0" collapsed="false">
      <c r="A25" s="6" t="s">
        <v>190</v>
      </c>
      <c r="B25" s="6" t="s">
        <v>191</v>
      </c>
      <c r="C25" s="6" t="s">
        <v>192</v>
      </c>
      <c r="D25" s="4"/>
      <c r="E25" s="4"/>
      <c r="F25" s="4"/>
    </row>
    <row r="26" customFormat="false" ht="45.75" hidden="false" customHeight="true" outlineLevel="0" collapsed="false">
      <c r="A26" s="6" t="s">
        <v>193</v>
      </c>
      <c r="B26" s="6" t="s">
        <v>194</v>
      </c>
      <c r="C26" s="6" t="s">
        <v>195</v>
      </c>
      <c r="D26" s="4"/>
      <c r="E26" s="4"/>
      <c r="F26" s="4"/>
    </row>
    <row r="27" customFormat="false" ht="34.5" hidden="false" customHeight="true" outlineLevel="0" collapsed="false">
      <c r="A27" s="6" t="s">
        <v>196</v>
      </c>
      <c r="B27" s="6" t="s">
        <v>197</v>
      </c>
      <c r="C27" s="6" t="s">
        <v>198</v>
      </c>
      <c r="D27" s="4"/>
      <c r="E27" s="4"/>
      <c r="F27" s="4"/>
    </row>
    <row r="28" customFormat="false" ht="45.75" hidden="false" customHeight="true" outlineLevel="0" collapsed="false">
      <c r="A28" s="6" t="s">
        <v>199</v>
      </c>
      <c r="B28" s="6" t="s">
        <v>200</v>
      </c>
      <c r="C28" s="6" t="s">
        <v>201</v>
      </c>
      <c r="D28" s="4"/>
      <c r="E28" s="4"/>
      <c r="F28" s="4"/>
    </row>
  </sheetData>
  <mergeCells count="4">
    <mergeCell ref="A1:F1"/>
    <mergeCell ref="A3:F3"/>
    <mergeCell ref="A13:F13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3" min="3" style="1" width="8"/>
    <col collapsed="false" customWidth="true" hidden="false" outlineLevel="0" max="4" min="4" style="1" width="32"/>
    <col collapsed="false" customWidth="true" hidden="false" outlineLevel="0" max="5" min="5" style="1" width="45"/>
  </cols>
  <sheetData>
    <row r="1" customFormat="false" ht="17.25" hidden="false" customHeight="true" outlineLevel="0" collapsed="false">
      <c r="A1" s="2" t="s">
        <v>202</v>
      </c>
      <c r="B1" s="2"/>
      <c r="C1" s="2"/>
      <c r="D1" s="2"/>
      <c r="E1" s="2"/>
    </row>
    <row r="2" customFormat="false" ht="15" hidden="false" customHeight="true" outlineLevel="0" collapsed="false">
      <c r="A2" s="4"/>
      <c r="B2" s="4"/>
      <c r="C2" s="4"/>
      <c r="D2" s="4"/>
      <c r="E2" s="4"/>
    </row>
    <row r="3" customFormat="false" ht="15" hidden="false" customHeight="true" outlineLevel="0" collapsed="false">
      <c r="A3" s="5" t="s">
        <v>203</v>
      </c>
      <c r="B3" s="5" t="s">
        <v>204</v>
      </c>
      <c r="C3" s="5" t="s">
        <v>205</v>
      </c>
      <c r="D3" s="5" t="s">
        <v>206</v>
      </c>
      <c r="E3" s="5" t="s">
        <v>207</v>
      </c>
    </row>
    <row r="4" customFormat="false" ht="23.25" hidden="false" customHeight="true" outlineLevel="0" collapsed="false">
      <c r="A4" s="6" t="n">
        <v>1</v>
      </c>
      <c r="B4" s="6" t="s">
        <v>208</v>
      </c>
      <c r="C4" s="6" t="n">
        <v>2016</v>
      </c>
      <c r="D4" s="6" t="s">
        <v>209</v>
      </c>
      <c r="E4" s="6" t="s">
        <v>210</v>
      </c>
    </row>
    <row r="5" customFormat="false" ht="23.25" hidden="false" customHeight="true" outlineLevel="0" collapsed="false">
      <c r="A5" s="6" t="n">
        <v>2</v>
      </c>
      <c r="B5" s="6" t="s">
        <v>211</v>
      </c>
      <c r="C5" s="6" t="n">
        <v>2014</v>
      </c>
      <c r="D5" s="6" t="s">
        <v>212</v>
      </c>
      <c r="E5" s="6" t="s">
        <v>213</v>
      </c>
    </row>
    <row r="6" customFormat="false" ht="23.25" hidden="false" customHeight="true" outlineLevel="0" collapsed="false">
      <c r="A6" s="6" t="n">
        <v>3</v>
      </c>
      <c r="B6" s="6" t="s">
        <v>214</v>
      </c>
      <c r="C6" s="6" t="n">
        <v>2011</v>
      </c>
      <c r="D6" s="6" t="s">
        <v>215</v>
      </c>
      <c r="E6" s="6" t="s">
        <v>216</v>
      </c>
    </row>
    <row r="7" customFormat="false" ht="23.25" hidden="false" customHeight="true" outlineLevel="0" collapsed="false">
      <c r="A7" s="6" t="n">
        <v>4</v>
      </c>
      <c r="B7" s="6" t="s">
        <v>217</v>
      </c>
      <c r="C7" s="6" t="n">
        <v>2011</v>
      </c>
      <c r="D7" s="6" t="s">
        <v>218</v>
      </c>
      <c r="E7" s="6" t="s">
        <v>219</v>
      </c>
    </row>
    <row r="8" customFormat="false" ht="23.25" hidden="false" customHeight="true" outlineLevel="0" collapsed="false">
      <c r="A8" s="6" t="n">
        <v>5</v>
      </c>
      <c r="B8" s="6" t="s">
        <v>220</v>
      </c>
      <c r="C8" s="6" t="n">
        <v>2014</v>
      </c>
      <c r="D8" s="6" t="s">
        <v>221</v>
      </c>
      <c r="E8" s="6" t="s">
        <v>222</v>
      </c>
    </row>
    <row r="9" customFormat="false" ht="23.25" hidden="false" customHeight="true" outlineLevel="0" collapsed="false">
      <c r="A9" s="6" t="n">
        <v>6</v>
      </c>
      <c r="B9" s="6" t="s">
        <v>223</v>
      </c>
      <c r="C9" s="6" t="n">
        <v>2007</v>
      </c>
      <c r="D9" s="6" t="s">
        <v>224</v>
      </c>
      <c r="E9" s="6" t="s">
        <v>225</v>
      </c>
    </row>
    <row r="10" customFormat="false" ht="23.25" hidden="false" customHeight="true" outlineLevel="0" collapsed="false">
      <c r="A10" s="6" t="n">
        <v>7</v>
      </c>
      <c r="B10" s="6" t="s">
        <v>226</v>
      </c>
      <c r="C10" s="6" t="n">
        <v>2017</v>
      </c>
      <c r="D10" s="6" t="s">
        <v>227</v>
      </c>
      <c r="E10" s="6" t="s">
        <v>228</v>
      </c>
    </row>
    <row r="11" customFormat="false" ht="23.25" hidden="false" customHeight="true" outlineLevel="0" collapsed="false">
      <c r="A11" s="6" t="n">
        <v>8</v>
      </c>
      <c r="B11" s="6" t="s">
        <v>229</v>
      </c>
      <c r="C11" s="6" t="n">
        <v>2000</v>
      </c>
      <c r="D11" s="6" t="s">
        <v>230</v>
      </c>
      <c r="E11" s="6" t="s">
        <v>231</v>
      </c>
    </row>
    <row r="12" customFormat="false" ht="23.25" hidden="false" customHeight="true" outlineLevel="0" collapsed="false">
      <c r="A12" s="6" t="n">
        <v>9</v>
      </c>
      <c r="B12" s="6" t="s">
        <v>232</v>
      </c>
      <c r="C12" s="6" t="n">
        <v>2017</v>
      </c>
      <c r="D12" s="6" t="s">
        <v>233</v>
      </c>
      <c r="E12" s="6" t="s">
        <v>234</v>
      </c>
    </row>
    <row r="13" customFormat="false" ht="23.25" hidden="false" customHeight="true" outlineLevel="0" collapsed="false">
      <c r="A13" s="6" t="n">
        <v>10</v>
      </c>
      <c r="B13" s="6" t="s">
        <v>235</v>
      </c>
      <c r="C13" s="6" t="n">
        <v>2019</v>
      </c>
      <c r="D13" s="6" t="s">
        <v>236</v>
      </c>
      <c r="E13" s="6" t="s">
        <v>237</v>
      </c>
    </row>
    <row r="14" customFormat="false" ht="23.25" hidden="false" customHeight="true" outlineLevel="0" collapsed="false">
      <c r="A14" s="6" t="n">
        <v>11</v>
      </c>
      <c r="B14" s="6" t="s">
        <v>238</v>
      </c>
      <c r="C14" s="6" t="n">
        <v>2022</v>
      </c>
      <c r="D14" s="6" t="s">
        <v>239</v>
      </c>
      <c r="E14" s="6" t="s">
        <v>240</v>
      </c>
    </row>
    <row r="15" customFormat="false" ht="15" hidden="false" customHeight="true" outlineLevel="0" collapsed="false">
      <c r="A15" s="6" t="n">
        <v>12</v>
      </c>
      <c r="B15" s="6" t="s">
        <v>241</v>
      </c>
      <c r="C15" s="6" t="n">
        <v>2016</v>
      </c>
      <c r="D15" s="6" t="s">
        <v>242</v>
      </c>
      <c r="E15" s="6" t="s">
        <v>243</v>
      </c>
    </row>
    <row r="16" customFormat="false" ht="23.25" hidden="false" customHeight="true" outlineLevel="0" collapsed="false">
      <c r="A16" s="6" t="n">
        <v>13</v>
      </c>
      <c r="B16" s="6" t="s">
        <v>244</v>
      </c>
      <c r="C16" s="6" t="n">
        <v>2018</v>
      </c>
      <c r="D16" s="6" t="s">
        <v>245</v>
      </c>
      <c r="E16" s="6" t="s">
        <v>246</v>
      </c>
    </row>
    <row r="17" customFormat="false" ht="23.25" hidden="false" customHeight="true" outlineLevel="0" collapsed="false">
      <c r="A17" s="6" t="n">
        <v>14</v>
      </c>
      <c r="B17" s="6" t="s">
        <v>247</v>
      </c>
      <c r="C17" s="6" t="n">
        <v>2015</v>
      </c>
      <c r="D17" s="6" t="s">
        <v>248</v>
      </c>
      <c r="E17" s="6" t="s">
        <v>249</v>
      </c>
    </row>
    <row r="18" customFormat="false" ht="23.25" hidden="false" customHeight="true" outlineLevel="0" collapsed="false">
      <c r="A18" s="6" t="n">
        <v>15</v>
      </c>
      <c r="B18" s="6" t="s">
        <v>250</v>
      </c>
      <c r="C18" s="6" t="n">
        <v>2015</v>
      </c>
      <c r="D18" s="6" t="s">
        <v>251</v>
      </c>
      <c r="E18" s="6" t="s">
        <v>252</v>
      </c>
    </row>
    <row r="19" customFormat="false" ht="23.25" hidden="false" customHeight="true" outlineLevel="0" collapsed="false">
      <c r="A19" s="6" t="n">
        <v>16</v>
      </c>
      <c r="B19" s="6" t="s">
        <v>253</v>
      </c>
      <c r="C19" s="6" t="n">
        <v>2017</v>
      </c>
      <c r="D19" s="6" t="s">
        <v>254</v>
      </c>
      <c r="E19" s="6" t="s">
        <v>255</v>
      </c>
    </row>
    <row r="20" customFormat="false" ht="23.25" hidden="false" customHeight="true" outlineLevel="0" collapsed="false">
      <c r="A20" s="6" t="n">
        <v>17</v>
      </c>
      <c r="B20" s="6" t="s">
        <v>256</v>
      </c>
      <c r="C20" s="6" t="n">
        <v>2023</v>
      </c>
      <c r="D20" s="6" t="s">
        <v>257</v>
      </c>
      <c r="E20" s="6" t="s">
        <v>258</v>
      </c>
    </row>
    <row r="21" customFormat="false" ht="23.25" hidden="false" customHeight="true" outlineLevel="0" collapsed="false">
      <c r="A21" s="6" t="n">
        <v>18</v>
      </c>
      <c r="B21" s="6" t="s">
        <v>259</v>
      </c>
      <c r="C21" s="6" t="n">
        <v>2017</v>
      </c>
      <c r="D21" s="6" t="s">
        <v>260</v>
      </c>
      <c r="E21" s="6" t="s">
        <v>261</v>
      </c>
    </row>
    <row r="22" customFormat="false" ht="23.25" hidden="false" customHeight="true" outlineLevel="0" collapsed="false">
      <c r="A22" s="6" t="n">
        <v>19</v>
      </c>
      <c r="B22" s="6" t="s">
        <v>262</v>
      </c>
      <c r="C22" s="6" t="n">
        <v>2019</v>
      </c>
      <c r="D22" s="6" t="s">
        <v>263</v>
      </c>
      <c r="E22" s="6" t="s">
        <v>264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2026-04-21T07:31:40Z</dcterms:created>
  <dc:creator>openpyxl</dc:creator>
  <dc:description/>
  <dc:language>en-US</dc:language>
  <cp:lastModifiedBy/>
  <dcterms:modified xsi:type="dcterms:W3CDTF">2026-04-21T07:31:57Z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